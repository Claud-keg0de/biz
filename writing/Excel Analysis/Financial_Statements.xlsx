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86b1ca7b70efb/Work/Writing/"/>
    </mc:Choice>
  </mc:AlternateContent>
  <xr:revisionPtr revIDLastSave="8" documentId="13_ncr:1_{2AF10001-B7A7-40F6-B0BE-FAB8391A59DD}" xr6:coauthVersionLast="47" xr6:coauthVersionMax="47" xr10:uidLastSave="{5F842691-1EF1-4758-AA01-7D1FFB9ACE38}"/>
  <bookViews>
    <workbookView xWindow="1425" yWindow="1425" windowWidth="18000" windowHeight="9270" activeTab="2" xr2:uid="{E99D3420-1ADB-4316-9252-5D267C98AB36}"/>
  </bookViews>
  <sheets>
    <sheet name="Sheet1" sheetId="4" r:id="rId1"/>
    <sheet name="Income Statement (Expenditure)" sheetId="1" r:id="rId2"/>
    <sheet name="Balance Sheet" sheetId="2" r:id="rId3"/>
    <sheet name="Cash flo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9" i="1"/>
  <c r="F10" i="1"/>
  <c r="F11" i="1"/>
  <c r="F12" i="1"/>
  <c r="F3" i="1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2" i="2"/>
  <c r="F23" i="2"/>
  <c r="F24" i="2"/>
  <c r="F26" i="2"/>
  <c r="F27" i="2"/>
  <c r="F28" i="2"/>
  <c r="F29" i="2"/>
  <c r="F30" i="2"/>
  <c r="F31" i="2"/>
  <c r="F33" i="2"/>
  <c r="F34" i="2"/>
  <c r="F35" i="2"/>
  <c r="F36" i="2"/>
  <c r="F4" i="2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5" i="3"/>
  <c r="F4" i="3"/>
  <c r="F6" i="3"/>
  <c r="F3" i="3"/>
  <c r="C46" i="3"/>
  <c r="B46" i="3"/>
  <c r="B47" i="3" s="1"/>
  <c r="C47" i="3"/>
  <c r="D47" i="3"/>
  <c r="E47" i="3"/>
  <c r="C45" i="3"/>
  <c r="D45" i="3"/>
  <c r="E45" i="3"/>
  <c r="B45" i="3"/>
  <c r="D43" i="3"/>
  <c r="B43" i="3"/>
  <c r="C43" i="3"/>
  <c r="D42" i="3"/>
  <c r="B42" i="3"/>
  <c r="C42" i="3"/>
  <c r="D32" i="3"/>
  <c r="B32" i="3"/>
  <c r="C32" i="3"/>
  <c r="B20" i="3"/>
  <c r="D20" i="3"/>
  <c r="C20" i="3"/>
  <c r="D36" i="2"/>
  <c r="B36" i="2"/>
  <c r="C36" i="2"/>
  <c r="D31" i="2"/>
  <c r="B31" i="2"/>
  <c r="C31" i="2"/>
  <c r="D30" i="2"/>
  <c r="B30" i="2"/>
  <c r="C30" i="2"/>
  <c r="D24" i="2"/>
  <c r="B24" i="2"/>
  <c r="C24" i="2"/>
  <c r="D20" i="2"/>
  <c r="B20" i="2"/>
  <c r="C20" i="2"/>
  <c r="D19" i="2"/>
  <c r="B19" i="2"/>
  <c r="C19" i="2"/>
  <c r="D12" i="2"/>
  <c r="B12" i="2"/>
  <c r="C12" i="2"/>
  <c r="C12" i="1"/>
  <c r="D12" i="1"/>
  <c r="D7" i="1"/>
  <c r="B12" i="1"/>
  <c r="C7" i="1"/>
  <c r="B7" i="1"/>
  <c r="E42" i="3"/>
  <c r="E43" i="3" s="1"/>
  <c r="E32" i="3"/>
  <c r="E20" i="3"/>
  <c r="E36" i="2"/>
  <c r="E30" i="2"/>
  <c r="E24" i="2"/>
  <c r="E19" i="2"/>
  <c r="E20" i="2" s="1"/>
  <c r="E31" i="2" s="1"/>
  <c r="E12" i="2"/>
  <c r="E7" i="1"/>
  <c r="E12" i="1" s="1"/>
</calcChain>
</file>

<file path=xl/sharedStrings.xml><?xml version="1.0" encoding="utf-8"?>
<sst xmlns="http://schemas.openxmlformats.org/spreadsheetml/2006/main" count="116" uniqueCount="103">
  <si>
    <t>Staff Costs</t>
  </si>
  <si>
    <t>Depreciation and Amortization</t>
  </si>
  <si>
    <t>Impairment of Non-Current Assets</t>
  </si>
  <si>
    <t>Net Operating Expenditure</t>
  </si>
  <si>
    <t>Pension Scheme (Gain)/Loss</t>
  </si>
  <si>
    <t>Total Comprehensive Expenditure</t>
  </si>
  <si>
    <t>Category</t>
  </si>
  <si>
    <t>Operating Expenditure</t>
  </si>
  <si>
    <t>Operating Income</t>
  </si>
  <si>
    <t>Grant-in-aid to ALBs</t>
  </si>
  <si>
    <t>Other Comprehensive Net Expenditure</t>
  </si>
  <si>
    <t>Revaluation of Property, Plant, and Equipment</t>
  </si>
  <si>
    <t>]</t>
  </si>
  <si>
    <t>Income tax on items in other comprehensive expenditure</t>
  </si>
  <si>
    <t>Non-Current Assets</t>
  </si>
  <si>
    <t>Property, Plant, and Equipment</t>
  </si>
  <si>
    <t>Right of Use Assets</t>
  </si>
  <si>
    <t>Intangible Assets</t>
  </si>
  <si>
    <t>Investments in Associates</t>
  </si>
  <si>
    <t>Financial Assets at Fair Value</t>
  </si>
  <si>
    <t>Financial Assets at Amortized Cost</t>
  </si>
  <si>
    <t>Investment Properties</t>
  </si>
  <si>
    <t>Trade and Other Receivables</t>
  </si>
  <si>
    <t>Total Non-Current Assets</t>
  </si>
  <si>
    <t>Current Assets</t>
  </si>
  <si>
    <t>Inventories</t>
  </si>
  <si>
    <t>Financial Assets at Fair Value (Short-Term)</t>
  </si>
  <si>
    <t>Financial Assets at Amortized Cost (Short-Term)</t>
  </si>
  <si>
    <t>Cash and Cash Equivalents</t>
  </si>
  <si>
    <t>Total Current Assets</t>
  </si>
  <si>
    <t>Total Assets</t>
  </si>
  <si>
    <t>Current Liabilities</t>
  </si>
  <si>
    <t>Trade and Other Payables</t>
  </si>
  <si>
    <t>Provisions (Short-Term)</t>
  </si>
  <si>
    <t>Total Current Liabilities</t>
  </si>
  <si>
    <t>Non-Current Liabilities</t>
  </si>
  <si>
    <t>Trade and Other Payables (Long-Term)</t>
  </si>
  <si>
    <t>Provisions (Long-Term)</t>
  </si>
  <si>
    <t>Pensions</t>
  </si>
  <si>
    <t>Financial Guarantees</t>
  </si>
  <si>
    <t>Total Non-Current Liabilities</t>
  </si>
  <si>
    <t>Net Assets</t>
  </si>
  <si>
    <t>Taxpayers' equity</t>
  </si>
  <si>
    <t>General fund</t>
  </si>
  <si>
    <t>Revaluation reserve</t>
  </si>
  <si>
    <t>Pension reserve</t>
  </si>
  <si>
    <t>Total Taxpayers' Equity</t>
  </si>
  <si>
    <t>Cash Flows from Operating Activities</t>
  </si>
  <si>
    <t>Adjustments:</t>
  </si>
  <si>
    <t>Finance (Income)/Costs</t>
  </si>
  <si>
    <t>(Increase)/Decrease in Inventories</t>
  </si>
  <si>
    <t>Increase/(Decrease) in Trade Payables</t>
  </si>
  <si>
    <t>Pension Fund Adjustments</t>
  </si>
  <si>
    <t>Local Share (Business Rates Retained)</t>
  </si>
  <si>
    <t>Net Cash Outflow from Operating Activities</t>
  </si>
  <si>
    <t>Cash Flows from Investing Activities</t>
  </si>
  <si>
    <t>Purchase of Property, Plant, and Equipment</t>
  </si>
  <si>
    <t>Purchase of Intangible Assets</t>
  </si>
  <si>
    <t>Repayments of Financial Assets</t>
  </si>
  <si>
    <t>Interest Received</t>
  </si>
  <si>
    <t>Other Adjustments (Investing Activities)</t>
  </si>
  <si>
    <t>Net Cash Inflow/(Outflow) from Investing Activities</t>
  </si>
  <si>
    <t>(Profit) / loss on disposal of non-current assets</t>
  </si>
  <si>
    <t>Revaluation of non-current assets passing through the SoCNE</t>
  </si>
  <si>
    <t>Other non cash transactions</t>
  </si>
  <si>
    <t>(Increase) / decrease in trade &amp; other receivables</t>
  </si>
  <si>
    <t>Adjustment to NNDR/BRR payables</t>
  </si>
  <si>
    <t>Movement of Provision</t>
  </si>
  <si>
    <t>Utilisation of provision</t>
  </si>
  <si>
    <t>Adjustments for Corporation Tax</t>
  </si>
  <si>
    <t>Financial assets issued</t>
  </si>
  <si>
    <t>Proceeds of disposal of property, plant and equipment</t>
  </si>
  <si>
    <t>Proceeds from disposal of joint ventures</t>
  </si>
  <si>
    <t>Repayment of public dividend capital</t>
  </si>
  <si>
    <t>Proceeds on disposal of financial assets</t>
  </si>
  <si>
    <t>Cash Flows from Financing Activities</t>
  </si>
  <si>
    <t>From the consolidated fund (supply) - current year</t>
  </si>
  <si>
    <t>From the consolidated fund (non-supply) - current year</t>
  </si>
  <si>
    <t>Grant in aid receivable</t>
  </si>
  <si>
    <t>Capital element of payments in respect of finance leases</t>
  </si>
  <si>
    <t>Interest paid</t>
  </si>
  <si>
    <t>Foreign exchange movements</t>
  </si>
  <si>
    <t>Adjustments for changes in accounting policy (financing)</t>
  </si>
  <si>
    <t>Other adjustments - financing activities</t>
  </si>
  <si>
    <t>Net Cash inflow/(outflow) from financing activities</t>
  </si>
  <si>
    <t>Net increase/(decrease) in cash and cash equivalents
in the period before adjustment for receipts and
payments to the Consolidated Fund</t>
  </si>
  <si>
    <t>Payments due to the Consolidated Fund</t>
  </si>
  <si>
    <t>Net increase/(decrease)after adjustment for receipts</t>
  </si>
  <si>
    <t>Cash and cash equivalents at the beginning of
the period</t>
  </si>
  <si>
    <t>Cash and cash equivalents at the end of the period</t>
  </si>
  <si>
    <t>Core 
Department 
&amp; Agency</t>
  </si>
  <si>
    <t>Departmental Group</t>
  </si>
  <si>
    <t>Departmental 
Group</t>
  </si>
  <si>
    <t>Core Department &amp; Agency</t>
  </si>
  <si>
    <t xml:space="preserve"> Core 
Department 
&amp; Agency</t>
  </si>
  <si>
    <t xml:space="preserve"> Departmental Group</t>
  </si>
  <si>
    <t>FINANCIAL STATEMENT REPORT FOR MHCLG</t>
  </si>
  <si>
    <t>2023-2024 ( '000)</t>
  </si>
  <si>
    <t>2022-2023 (000)</t>
  </si>
  <si>
    <t>2023-2024 (000)</t>
  </si>
  <si>
    <t>(2023–2024) (000)</t>
  </si>
  <si>
    <t>(2022–2023) (000)</t>
  </si>
  <si>
    <t>Comparison(Profit/Loss)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</si>
</sst>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F63F-CAE8-4537-B534-D9F9302CA419}">
  <dimension ref="D7:M10"/>
  <sheetViews>
    <sheetView workbookViewId="0">
      <selection activeCell="H4" sqref="H4"/>
    </sheetView>
  </sheetViews>
  <sheetFormatPr defaultRowHeight="15" x14ac:dyDescent="0.25"/>
  <sheetData>
    <row r="7" spans="4:13" x14ac:dyDescent="0.25">
      <c r="D7" s="15" t="s">
        <v>96</v>
      </c>
      <c r="E7" s="16"/>
      <c r="F7" s="16"/>
      <c r="G7" s="16"/>
      <c r="H7" s="16"/>
      <c r="I7" s="16"/>
      <c r="J7" s="16"/>
      <c r="K7" s="16"/>
      <c r="L7" s="16"/>
      <c r="M7" s="16"/>
    </row>
    <row r="8" spans="4:13" x14ac:dyDescent="0.25"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4:13" x14ac:dyDescent="0.25"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4:13" x14ac:dyDescent="0.25"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1">
    <mergeCell ref="D7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EAEB-3614-4182-8834-706CC3414969}">
  <dimension ref="A1:F20"/>
  <sheetViews>
    <sheetView workbookViewId="0">
      <selection activeCell="H14" sqref="H14"/>
    </sheetView>
  </sheetViews>
  <sheetFormatPr defaultRowHeight="15" x14ac:dyDescent="0.25"/>
  <cols>
    <col min="1" max="1" width="46.85546875" bestFit="1" customWidth="1"/>
    <col min="2" max="5" width="15.140625" bestFit="1" customWidth="1"/>
    <col min="6" max="6" width="21.5703125" bestFit="1" customWidth="1"/>
  </cols>
  <sheetData>
    <row r="1" spans="1:6" x14ac:dyDescent="0.25">
      <c r="A1" s="1" t="s">
        <v>6</v>
      </c>
      <c r="B1" s="14" t="s">
        <v>100</v>
      </c>
      <c r="C1" s="14"/>
      <c r="D1" s="14" t="s">
        <v>101</v>
      </c>
      <c r="E1" s="14"/>
    </row>
    <row r="2" spans="1:6" ht="45" x14ac:dyDescent="0.25">
      <c r="A2" s="1"/>
      <c r="B2" s="4" t="s">
        <v>90</v>
      </c>
      <c r="C2" s="5" t="s">
        <v>92</v>
      </c>
      <c r="D2" s="5" t="s">
        <v>90</v>
      </c>
      <c r="E2" s="5" t="s">
        <v>92</v>
      </c>
      <c r="F2" s="1" t="s">
        <v>102</v>
      </c>
    </row>
    <row r="3" spans="1:6" x14ac:dyDescent="0.25">
      <c r="A3" t="s">
        <v>0</v>
      </c>
      <c r="B3" s="9">
        <v>301703</v>
      </c>
      <c r="C3" s="9">
        <v>461277</v>
      </c>
      <c r="D3" s="9">
        <v>276010</v>
      </c>
      <c r="E3" s="9">
        <v>437691</v>
      </c>
      <c r="F3" s="9">
        <f>C3-E3</f>
        <v>23586</v>
      </c>
    </row>
    <row r="4" spans="1:6" x14ac:dyDescent="0.25">
      <c r="A4" t="s">
        <v>7</v>
      </c>
      <c r="B4" s="9">
        <v>43333779</v>
      </c>
      <c r="C4" s="9">
        <v>46401208</v>
      </c>
      <c r="D4" s="9">
        <v>36852467</v>
      </c>
      <c r="E4" s="9">
        <v>38977315</v>
      </c>
      <c r="F4" s="9">
        <f t="shared" ref="F4:F12" si="0">C4-E4</f>
        <v>7423893</v>
      </c>
    </row>
    <row r="5" spans="1:6" x14ac:dyDescent="0.25">
      <c r="A5" t="s">
        <v>8</v>
      </c>
      <c r="B5" s="9">
        <v>-5854406</v>
      </c>
      <c r="C5" s="9">
        <v>-6232345</v>
      </c>
      <c r="D5" s="9">
        <v>-7557130</v>
      </c>
      <c r="E5" s="9">
        <v>-8548481</v>
      </c>
      <c r="F5" s="9">
        <f t="shared" si="0"/>
        <v>2316136</v>
      </c>
    </row>
    <row r="6" spans="1:6" x14ac:dyDescent="0.25">
      <c r="A6" t="s">
        <v>9</v>
      </c>
      <c r="B6" s="9">
        <v>1030233</v>
      </c>
      <c r="C6" s="9">
        <v>0</v>
      </c>
      <c r="D6" s="9">
        <v>1589889</v>
      </c>
      <c r="E6" s="9">
        <v>0</v>
      </c>
      <c r="F6" s="9">
        <f t="shared" si="0"/>
        <v>0</v>
      </c>
    </row>
    <row r="7" spans="1:6" x14ac:dyDescent="0.25">
      <c r="A7" s="1" t="s">
        <v>3</v>
      </c>
      <c r="B7" s="10">
        <f>SUM(B3:B6)</f>
        <v>38811309</v>
      </c>
      <c r="C7" s="10">
        <f>SUM(C3:C6)</f>
        <v>40630140</v>
      </c>
      <c r="D7" s="10">
        <f>SUM(D3:D6)</f>
        <v>31161236</v>
      </c>
      <c r="E7" s="10">
        <f>E3+E4+E5+E6</f>
        <v>30866525</v>
      </c>
      <c r="F7" s="10">
        <f t="shared" si="0"/>
        <v>9763615</v>
      </c>
    </row>
    <row r="8" spans="1:6" x14ac:dyDescent="0.25">
      <c r="A8" s="1" t="s">
        <v>10</v>
      </c>
      <c r="B8" s="10"/>
      <c r="C8" s="9"/>
      <c r="D8" s="9"/>
      <c r="E8" s="9"/>
      <c r="F8" s="9"/>
    </row>
    <row r="9" spans="1:6" x14ac:dyDescent="0.25">
      <c r="A9" t="s">
        <v>4</v>
      </c>
      <c r="B9" s="9">
        <v>-30508</v>
      </c>
      <c r="C9" s="9">
        <v>-107944</v>
      </c>
      <c r="D9" s="9">
        <v>57249</v>
      </c>
      <c r="E9" s="9">
        <v>-92003</v>
      </c>
      <c r="F9" s="9">
        <f t="shared" si="0"/>
        <v>-15941</v>
      </c>
    </row>
    <row r="10" spans="1:6" x14ac:dyDescent="0.25">
      <c r="A10" t="s">
        <v>11</v>
      </c>
      <c r="B10" s="9">
        <v>0</v>
      </c>
      <c r="C10" s="9">
        <v>0</v>
      </c>
      <c r="D10" s="9">
        <v>0</v>
      </c>
      <c r="E10" s="9">
        <v>0</v>
      </c>
      <c r="F10" s="9">
        <f t="shared" si="0"/>
        <v>0</v>
      </c>
    </row>
    <row r="11" spans="1:6" x14ac:dyDescent="0.25">
      <c r="A11" t="s">
        <v>13</v>
      </c>
      <c r="B11" s="9">
        <v>0</v>
      </c>
      <c r="C11" s="9">
        <v>19259</v>
      </c>
      <c r="D11" s="9">
        <v>0</v>
      </c>
      <c r="E11" s="9">
        <v>15942</v>
      </c>
      <c r="F11" s="9">
        <f t="shared" si="0"/>
        <v>3317</v>
      </c>
    </row>
    <row r="12" spans="1:6" x14ac:dyDescent="0.25">
      <c r="A12" s="1" t="s">
        <v>5</v>
      </c>
      <c r="B12" s="10">
        <f>SUM(B7:B11)</f>
        <v>38780801</v>
      </c>
      <c r="C12" s="10">
        <f>SUM(C7:C11)</f>
        <v>40541455</v>
      </c>
      <c r="D12" s="10">
        <f>SUM(D7:D11)</f>
        <v>31218485</v>
      </c>
      <c r="E12" s="10">
        <f>E7+E9+E10+E11</f>
        <v>30790464</v>
      </c>
      <c r="F12" s="10">
        <f t="shared" si="0"/>
        <v>9750991</v>
      </c>
    </row>
    <row r="15" spans="1:6" x14ac:dyDescent="0.25">
      <c r="A15" s="1"/>
      <c r="B15" s="1"/>
    </row>
    <row r="16" spans="1:6" x14ac:dyDescent="0.25">
      <c r="A16" s="1"/>
      <c r="B16" s="1"/>
    </row>
    <row r="19" spans="1:2" x14ac:dyDescent="0.25">
      <c r="A19" s="1"/>
      <c r="B19" s="1"/>
    </row>
    <row r="20" spans="1:2" x14ac:dyDescent="0.25">
      <c r="A20" s="1" t="s">
        <v>12</v>
      </c>
      <c r="B20" s="1"/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46BD-5721-43F5-9910-E7B9B061D866}">
  <dimension ref="A1:F36"/>
  <sheetViews>
    <sheetView tabSelected="1" workbookViewId="0">
      <selection activeCell="D34" sqref="D34"/>
    </sheetView>
  </sheetViews>
  <sheetFormatPr defaultRowHeight="15" x14ac:dyDescent="0.25"/>
  <cols>
    <col min="1" max="1" width="40" bestFit="1" customWidth="1"/>
    <col min="2" max="2" width="8.28515625" customWidth="1"/>
    <col min="3" max="3" width="8" customWidth="1"/>
    <col min="4" max="4" width="7" customWidth="1"/>
    <col min="5" max="5" width="5.85546875" customWidth="1"/>
    <col min="6" max="6" width="8.42578125" customWidth="1"/>
  </cols>
  <sheetData>
    <row r="1" spans="1:6" x14ac:dyDescent="0.25">
      <c r="A1" s="1" t="s">
        <v>6</v>
      </c>
      <c r="B1" s="14" t="s">
        <v>99</v>
      </c>
      <c r="C1" s="14"/>
      <c r="D1" s="14" t="s">
        <v>98</v>
      </c>
      <c r="E1" s="14"/>
    </row>
    <row r="2" spans="1:6" ht="30" x14ac:dyDescent="0.25">
      <c r="A2" s="1"/>
      <c r="B2" s="6" t="s">
        <v>93</v>
      </c>
      <c r="C2" s="7" t="s">
        <v>92</v>
      </c>
      <c r="D2" s="1" t="s">
        <v>93</v>
      </c>
      <c r="E2" s="6" t="s">
        <v>91</v>
      </c>
      <c r="F2" s="1" t="s">
        <v>102</v>
      </c>
    </row>
    <row r="3" spans="1:6" x14ac:dyDescent="0.25">
      <c r="A3" s="1" t="s">
        <v>14</v>
      </c>
      <c r="B3" s="1"/>
    </row>
    <row r="4" spans="1:6" x14ac:dyDescent="0.25">
      <c r="A4" t="s">
        <v>15</v>
      </c>
      <c r="B4" s="9">
        <v>22971</v>
      </c>
      <c r="C4" s="9">
        <v>26226</v>
      </c>
      <c r="D4" s="9">
        <v>22840</v>
      </c>
      <c r="E4" s="9">
        <v>26843</v>
      </c>
      <c r="F4" s="9">
        <f>C4-E4</f>
        <v>-617</v>
      </c>
    </row>
    <row r="5" spans="1:6" x14ac:dyDescent="0.25">
      <c r="A5" t="s">
        <v>16</v>
      </c>
      <c r="B5" s="9">
        <v>58440</v>
      </c>
      <c r="C5" s="9">
        <v>66642</v>
      </c>
      <c r="D5" s="9">
        <v>68654</v>
      </c>
      <c r="E5" s="9">
        <v>78019</v>
      </c>
      <c r="F5" s="9">
        <f t="shared" ref="F5:F36" si="0">C5-E5</f>
        <v>-11377</v>
      </c>
    </row>
    <row r="6" spans="1:6" x14ac:dyDescent="0.25">
      <c r="A6" t="s">
        <v>17</v>
      </c>
      <c r="B6" s="9">
        <v>86223</v>
      </c>
      <c r="C6" s="9">
        <v>108923</v>
      </c>
      <c r="D6" s="9">
        <v>46317</v>
      </c>
      <c r="E6" s="9">
        <v>57061</v>
      </c>
      <c r="F6" s="9">
        <f t="shared" si="0"/>
        <v>51862</v>
      </c>
    </row>
    <row r="7" spans="1:6" x14ac:dyDescent="0.25">
      <c r="A7" t="s">
        <v>18</v>
      </c>
      <c r="B7" s="9">
        <v>5000</v>
      </c>
      <c r="C7" s="9">
        <v>64303</v>
      </c>
      <c r="D7" s="9">
        <v>5000</v>
      </c>
      <c r="E7" s="9">
        <v>66932</v>
      </c>
      <c r="F7" s="9">
        <f t="shared" si="0"/>
        <v>-2629</v>
      </c>
    </row>
    <row r="8" spans="1:6" x14ac:dyDescent="0.25">
      <c r="A8" t="s">
        <v>19</v>
      </c>
      <c r="B8" s="9">
        <v>121217</v>
      </c>
      <c r="C8" s="9">
        <v>18218703</v>
      </c>
      <c r="D8" s="9">
        <v>142175</v>
      </c>
      <c r="E8" s="9">
        <v>20046823</v>
      </c>
      <c r="F8" s="9">
        <f t="shared" si="0"/>
        <v>-1828120</v>
      </c>
    </row>
    <row r="9" spans="1:6" x14ac:dyDescent="0.25">
      <c r="A9" t="s">
        <v>20</v>
      </c>
      <c r="B9" s="9">
        <v>276250</v>
      </c>
      <c r="C9" s="9">
        <v>1108981</v>
      </c>
      <c r="D9" s="9">
        <v>167089</v>
      </c>
      <c r="E9" s="9">
        <v>1014068</v>
      </c>
      <c r="F9" s="9">
        <f t="shared" si="0"/>
        <v>94913</v>
      </c>
    </row>
    <row r="10" spans="1:6" x14ac:dyDescent="0.25">
      <c r="A10" t="s">
        <v>21</v>
      </c>
      <c r="B10" s="9">
        <v>51100</v>
      </c>
      <c r="C10" s="9">
        <v>51100</v>
      </c>
      <c r="D10" s="9">
        <v>64600</v>
      </c>
      <c r="E10" s="9">
        <v>64600</v>
      </c>
      <c r="F10" s="9">
        <f t="shared" si="0"/>
        <v>-13500</v>
      </c>
    </row>
    <row r="11" spans="1:6" x14ac:dyDescent="0.25">
      <c r="A11" t="s">
        <v>22</v>
      </c>
      <c r="B11" s="9">
        <v>155157</v>
      </c>
      <c r="C11" s="9">
        <v>295931</v>
      </c>
      <c r="D11" s="9">
        <v>154977</v>
      </c>
      <c r="E11" s="9">
        <v>170820</v>
      </c>
      <c r="F11" s="9">
        <f t="shared" si="0"/>
        <v>125111</v>
      </c>
    </row>
    <row r="12" spans="1:6" x14ac:dyDescent="0.25">
      <c r="A12" s="1" t="s">
        <v>23</v>
      </c>
      <c r="B12" s="10">
        <f>SUM(B4:B11)</f>
        <v>776358</v>
      </c>
      <c r="C12" s="10">
        <f>SUM(C4:C11)</f>
        <v>19940809</v>
      </c>
      <c r="D12" s="10">
        <f>SUM(D4:D11)</f>
        <v>671652</v>
      </c>
      <c r="E12" s="10">
        <f>SUM(E4:E11)</f>
        <v>21525166</v>
      </c>
      <c r="F12" s="10">
        <f t="shared" si="0"/>
        <v>-1584357</v>
      </c>
    </row>
    <row r="13" spans="1:6" x14ac:dyDescent="0.25">
      <c r="A13" s="1" t="s">
        <v>24</v>
      </c>
      <c r="B13" s="10"/>
      <c r="C13" s="9"/>
      <c r="D13" s="9"/>
      <c r="E13" s="9"/>
      <c r="F13" s="9"/>
    </row>
    <row r="14" spans="1:6" x14ac:dyDescent="0.25">
      <c r="A14" t="s">
        <v>25</v>
      </c>
      <c r="B14" s="9">
        <v>250362</v>
      </c>
      <c r="C14" s="9">
        <v>1314995</v>
      </c>
      <c r="D14" s="9">
        <v>458665</v>
      </c>
      <c r="E14" s="9">
        <v>1528024</v>
      </c>
      <c r="F14" s="9">
        <f t="shared" si="0"/>
        <v>-213029</v>
      </c>
    </row>
    <row r="15" spans="1:6" x14ac:dyDescent="0.25">
      <c r="A15" t="s">
        <v>26</v>
      </c>
      <c r="B15" s="9"/>
      <c r="C15" s="9">
        <v>107502</v>
      </c>
      <c r="D15" s="9">
        <v>12289</v>
      </c>
      <c r="E15" s="9">
        <v>121959</v>
      </c>
      <c r="F15" s="9">
        <f t="shared" si="0"/>
        <v>-14457</v>
      </c>
    </row>
    <row r="16" spans="1:6" x14ac:dyDescent="0.25">
      <c r="A16" t="s">
        <v>27</v>
      </c>
      <c r="B16" s="9"/>
      <c r="C16" s="9">
        <v>354343</v>
      </c>
      <c r="D16" s="9">
        <v>106781</v>
      </c>
      <c r="E16" s="9">
        <v>677347</v>
      </c>
      <c r="F16" s="9">
        <f t="shared" si="0"/>
        <v>-323004</v>
      </c>
    </row>
    <row r="17" spans="1:6" x14ac:dyDescent="0.25">
      <c r="A17" t="s">
        <v>22</v>
      </c>
      <c r="B17" s="9">
        <v>1439220</v>
      </c>
      <c r="C17" s="9">
        <v>1726567</v>
      </c>
      <c r="D17" s="9">
        <v>482521</v>
      </c>
      <c r="E17" s="9">
        <v>731611</v>
      </c>
      <c r="F17" s="9">
        <f t="shared" si="0"/>
        <v>994956</v>
      </c>
    </row>
    <row r="18" spans="1:6" x14ac:dyDescent="0.25">
      <c r="A18" t="s">
        <v>28</v>
      </c>
      <c r="B18" s="9">
        <v>1295863</v>
      </c>
      <c r="C18" s="9">
        <v>1488180</v>
      </c>
      <c r="D18" s="9">
        <v>1682114</v>
      </c>
      <c r="E18" s="9">
        <v>1929965</v>
      </c>
      <c r="F18" s="9">
        <f t="shared" si="0"/>
        <v>-441785</v>
      </c>
    </row>
    <row r="19" spans="1:6" x14ac:dyDescent="0.25">
      <c r="A19" s="1" t="s">
        <v>29</v>
      </c>
      <c r="B19" s="10">
        <f>SUM(B14:B18)</f>
        <v>2985445</v>
      </c>
      <c r="C19" s="10">
        <f>SUM(C14:C18)</f>
        <v>4991587</v>
      </c>
      <c r="D19" s="10">
        <f>SUM(D14:D18)</f>
        <v>2742370</v>
      </c>
      <c r="E19" s="10">
        <f>SUM(E14:E18)</f>
        <v>4988906</v>
      </c>
      <c r="F19" s="9">
        <f t="shared" si="0"/>
        <v>2681</v>
      </c>
    </row>
    <row r="20" spans="1:6" x14ac:dyDescent="0.25">
      <c r="A20" s="1" t="s">
        <v>30</v>
      </c>
      <c r="B20" s="10">
        <f>B12+B19</f>
        <v>3761803</v>
      </c>
      <c r="C20" s="10">
        <f>C12+C19</f>
        <v>24932396</v>
      </c>
      <c r="D20" s="10">
        <f>D12+D19</f>
        <v>3414022</v>
      </c>
      <c r="E20" s="10">
        <f>E12+E19</f>
        <v>26514072</v>
      </c>
      <c r="F20" s="10">
        <f t="shared" si="0"/>
        <v>-1581676</v>
      </c>
    </row>
    <row r="21" spans="1:6" x14ac:dyDescent="0.25">
      <c r="A21" s="1" t="s">
        <v>31</v>
      </c>
      <c r="B21" s="10"/>
      <c r="C21" s="9"/>
      <c r="D21" s="9"/>
      <c r="E21" s="9"/>
      <c r="F21" s="9"/>
    </row>
    <row r="22" spans="1:6" x14ac:dyDescent="0.25">
      <c r="A22" t="s">
        <v>32</v>
      </c>
      <c r="B22" s="9">
        <v>3695824</v>
      </c>
      <c r="C22" s="9">
        <v>4204992</v>
      </c>
      <c r="D22" s="9">
        <v>3743041</v>
      </c>
      <c r="E22" s="9">
        <v>4320555</v>
      </c>
      <c r="F22" s="9">
        <f t="shared" si="0"/>
        <v>-115563</v>
      </c>
    </row>
    <row r="23" spans="1:6" x14ac:dyDescent="0.25">
      <c r="A23" t="s">
        <v>33</v>
      </c>
      <c r="B23" s="9">
        <v>5071</v>
      </c>
      <c r="C23" s="9">
        <v>5428</v>
      </c>
      <c r="D23" s="9">
        <v>22916</v>
      </c>
      <c r="E23" s="9">
        <v>26915</v>
      </c>
      <c r="F23" s="9">
        <f t="shared" si="0"/>
        <v>-21487</v>
      </c>
    </row>
    <row r="24" spans="1:6" x14ac:dyDescent="0.25">
      <c r="A24" s="1" t="s">
        <v>34</v>
      </c>
      <c r="B24" s="10">
        <f>SUM(B22:B23)</f>
        <v>3700895</v>
      </c>
      <c r="C24" s="13">
        <f>SUM(C22:C23)</f>
        <v>4210420</v>
      </c>
      <c r="D24" s="13">
        <f>SUM(D22:D23)</f>
        <v>3765957</v>
      </c>
      <c r="E24" s="10">
        <f>SUM(E22:E23)</f>
        <v>4347470</v>
      </c>
      <c r="F24" s="9">
        <f t="shared" si="0"/>
        <v>-137050</v>
      </c>
    </row>
    <row r="25" spans="1:6" x14ac:dyDescent="0.25">
      <c r="A25" s="1" t="s">
        <v>35</v>
      </c>
      <c r="B25" s="10"/>
      <c r="C25" s="11"/>
      <c r="D25" s="11"/>
      <c r="E25" s="9"/>
      <c r="F25" s="9"/>
    </row>
    <row r="26" spans="1:6" x14ac:dyDescent="0.25">
      <c r="A26" t="s">
        <v>36</v>
      </c>
      <c r="B26" s="9">
        <v>283649</v>
      </c>
      <c r="C26" s="9">
        <v>304985</v>
      </c>
      <c r="D26" s="9">
        <v>367732</v>
      </c>
      <c r="E26" s="11">
        <v>394303</v>
      </c>
      <c r="F26" s="9">
        <f t="shared" si="0"/>
        <v>-89318</v>
      </c>
    </row>
    <row r="27" spans="1:6" x14ac:dyDescent="0.25">
      <c r="A27" t="s">
        <v>37</v>
      </c>
      <c r="B27" s="9">
        <v>146694</v>
      </c>
      <c r="C27" s="9">
        <v>152136</v>
      </c>
      <c r="D27" s="9">
        <v>73357</v>
      </c>
      <c r="E27" s="9">
        <v>78178</v>
      </c>
      <c r="F27" s="9">
        <f t="shared" si="0"/>
        <v>73958</v>
      </c>
    </row>
    <row r="28" spans="1:6" x14ac:dyDescent="0.25">
      <c r="A28" t="s">
        <v>38</v>
      </c>
      <c r="B28" s="9">
        <v>101957</v>
      </c>
      <c r="C28" s="9">
        <v>-250203</v>
      </c>
      <c r="D28" s="9">
        <v>124109</v>
      </c>
      <c r="E28" s="9">
        <v>-135831</v>
      </c>
      <c r="F28" s="9">
        <f t="shared" si="0"/>
        <v>-114372</v>
      </c>
    </row>
    <row r="29" spans="1:6" x14ac:dyDescent="0.25">
      <c r="A29" t="s">
        <v>39</v>
      </c>
      <c r="B29" s="9">
        <v>47667</v>
      </c>
      <c r="C29" s="9">
        <v>47667</v>
      </c>
      <c r="D29" s="9">
        <v>110899</v>
      </c>
      <c r="E29" s="9">
        <v>110899</v>
      </c>
      <c r="F29" s="9">
        <f t="shared" si="0"/>
        <v>-63232</v>
      </c>
    </row>
    <row r="30" spans="1:6" x14ac:dyDescent="0.25">
      <c r="A30" s="1" t="s">
        <v>40</v>
      </c>
      <c r="B30" s="10">
        <f>SUM(B26:B29)</f>
        <v>579967</v>
      </c>
      <c r="C30" s="13">
        <f>SUM(C26:C29)</f>
        <v>254585</v>
      </c>
      <c r="D30" s="13">
        <f>SUM(D26:D29)</f>
        <v>676097</v>
      </c>
      <c r="E30" s="10">
        <f>SUM(E26:E29)</f>
        <v>447549</v>
      </c>
      <c r="F30" s="10">
        <f t="shared" si="0"/>
        <v>-192964</v>
      </c>
    </row>
    <row r="31" spans="1:6" x14ac:dyDescent="0.25">
      <c r="A31" s="1" t="s">
        <v>41</v>
      </c>
      <c r="B31" s="10">
        <f>B20-B24-B30</f>
        <v>-519059</v>
      </c>
      <c r="C31" s="10">
        <f>C20-C24-C30</f>
        <v>20467391</v>
      </c>
      <c r="D31" s="10">
        <f>D20-D24-D30</f>
        <v>-1028032</v>
      </c>
      <c r="E31" s="10">
        <f>E20-E24-E30</f>
        <v>21719053</v>
      </c>
      <c r="F31" s="10">
        <f t="shared" si="0"/>
        <v>-1251662</v>
      </c>
    </row>
    <row r="32" spans="1:6" x14ac:dyDescent="0.25">
      <c r="A32" s="1" t="s">
        <v>42</v>
      </c>
      <c r="B32" s="10"/>
      <c r="C32" s="9"/>
      <c r="D32" s="9"/>
      <c r="E32" s="9"/>
      <c r="F32" s="9"/>
    </row>
    <row r="33" spans="1:6" x14ac:dyDescent="0.25">
      <c r="A33" t="s">
        <v>43</v>
      </c>
      <c r="B33" s="9">
        <v>-460317</v>
      </c>
      <c r="C33" s="9">
        <v>20157883</v>
      </c>
      <c r="D33" s="9">
        <v>-938781</v>
      </c>
      <c r="E33" s="9">
        <v>21518085</v>
      </c>
      <c r="F33" s="9">
        <f t="shared" si="0"/>
        <v>-1360202</v>
      </c>
    </row>
    <row r="34" spans="1:6" x14ac:dyDescent="0.25">
      <c r="A34" t="s">
        <v>44</v>
      </c>
      <c r="B34" s="9"/>
      <c r="C34" s="9">
        <v>0</v>
      </c>
      <c r="D34" s="9">
        <v>-1</v>
      </c>
      <c r="E34" s="9">
        <v>-1</v>
      </c>
      <c r="F34" s="9">
        <f t="shared" si="0"/>
        <v>1</v>
      </c>
    </row>
    <row r="35" spans="1:6" x14ac:dyDescent="0.25">
      <c r="A35" t="s">
        <v>45</v>
      </c>
      <c r="B35" s="9">
        <v>-58742</v>
      </c>
      <c r="C35" s="9">
        <v>309508</v>
      </c>
      <c r="D35" s="9">
        <v>-89250</v>
      </c>
      <c r="E35" s="9">
        <v>200969</v>
      </c>
      <c r="F35" s="9">
        <f t="shared" si="0"/>
        <v>108539</v>
      </c>
    </row>
    <row r="36" spans="1:6" x14ac:dyDescent="0.25">
      <c r="A36" s="1" t="s">
        <v>46</v>
      </c>
      <c r="B36" s="10">
        <f>B33+B35+B34</f>
        <v>-519059</v>
      </c>
      <c r="C36" s="10">
        <f>C33+C35+C34</f>
        <v>20467391</v>
      </c>
      <c r="D36" s="10">
        <f>D33+D35+D34</f>
        <v>-1028032</v>
      </c>
      <c r="E36" s="10">
        <f>E33+E34+E35</f>
        <v>21719053</v>
      </c>
      <c r="F36" s="10">
        <f t="shared" si="0"/>
        <v>-1251662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3775-83CE-476B-ADAA-8F1489A7786B}">
  <dimension ref="A1:F47"/>
  <sheetViews>
    <sheetView workbookViewId="0">
      <selection activeCell="E50" sqref="E50"/>
    </sheetView>
  </sheetViews>
  <sheetFormatPr defaultRowHeight="15" x14ac:dyDescent="0.25"/>
  <cols>
    <col min="1" max="1" width="50.7109375" bestFit="1" customWidth="1"/>
    <col min="2" max="2" width="15.85546875" bestFit="1" customWidth="1"/>
    <col min="3" max="3" width="18.42578125" bestFit="1" customWidth="1"/>
    <col min="4" max="4" width="15.85546875" bestFit="1" customWidth="1"/>
    <col min="5" max="5" width="18.85546875" bestFit="1" customWidth="1"/>
    <col min="6" max="6" width="21.5703125" bestFit="1" customWidth="1"/>
  </cols>
  <sheetData>
    <row r="1" spans="1:6" x14ac:dyDescent="0.25">
      <c r="A1" s="2" t="s">
        <v>6</v>
      </c>
      <c r="B1" s="14" t="s">
        <v>97</v>
      </c>
      <c r="C1" s="14"/>
      <c r="D1" s="14" t="s">
        <v>98</v>
      </c>
      <c r="E1" s="14"/>
    </row>
    <row r="2" spans="1:6" ht="45" x14ac:dyDescent="0.25">
      <c r="A2" s="1" t="s">
        <v>47</v>
      </c>
      <c r="B2" s="7" t="s">
        <v>94</v>
      </c>
      <c r="C2" s="6" t="s">
        <v>91</v>
      </c>
      <c r="D2" s="7" t="s">
        <v>94</v>
      </c>
      <c r="E2" s="6" t="s">
        <v>95</v>
      </c>
      <c r="F2" s="8" t="s">
        <v>102</v>
      </c>
    </row>
    <row r="3" spans="1:6" x14ac:dyDescent="0.25">
      <c r="A3" t="s">
        <v>3</v>
      </c>
      <c r="B3" s="9">
        <v>-38811309</v>
      </c>
      <c r="C3" s="9">
        <v>-40630140</v>
      </c>
      <c r="D3" s="9">
        <v>-31161236</v>
      </c>
      <c r="E3" s="9">
        <v>-30866525</v>
      </c>
      <c r="F3" s="9">
        <f>C3 - E3</f>
        <v>-9763615</v>
      </c>
    </row>
    <row r="4" spans="1:6" x14ac:dyDescent="0.25">
      <c r="A4" s="1" t="s">
        <v>48</v>
      </c>
      <c r="B4" s="10"/>
      <c r="C4" s="9"/>
      <c r="D4" s="9"/>
      <c r="E4" s="9"/>
      <c r="F4" s="9">
        <f t="shared" ref="F4:F47" si="0">C4 - E4</f>
        <v>0</v>
      </c>
    </row>
    <row r="5" spans="1:6" x14ac:dyDescent="0.25">
      <c r="A5" t="s">
        <v>49</v>
      </c>
      <c r="B5" s="9">
        <v>-62957</v>
      </c>
      <c r="C5" s="9">
        <v>-174124</v>
      </c>
      <c r="D5" s="9">
        <v>-29944</v>
      </c>
      <c r="E5" s="11">
        <v>-779216</v>
      </c>
      <c r="F5" s="9">
        <f>C5 - E5</f>
        <v>605092</v>
      </c>
    </row>
    <row r="6" spans="1:6" x14ac:dyDescent="0.25">
      <c r="A6" t="s">
        <v>62</v>
      </c>
      <c r="B6" s="9">
        <v>4297</v>
      </c>
      <c r="C6" s="9">
        <v>-32437</v>
      </c>
      <c r="D6" s="9">
        <v>3917</v>
      </c>
      <c r="E6" s="9">
        <v>-37274</v>
      </c>
      <c r="F6" s="9">
        <f t="shared" si="0"/>
        <v>4837</v>
      </c>
    </row>
    <row r="7" spans="1:6" x14ac:dyDescent="0.25">
      <c r="A7" t="s">
        <v>1</v>
      </c>
      <c r="B7" s="9">
        <v>26367</v>
      </c>
      <c r="C7" s="9">
        <v>32796</v>
      </c>
      <c r="D7" s="9">
        <v>26449</v>
      </c>
      <c r="E7" s="11">
        <v>32885</v>
      </c>
      <c r="F7" s="9">
        <f t="shared" si="0"/>
        <v>-89</v>
      </c>
    </row>
    <row r="8" spans="1:6" x14ac:dyDescent="0.25">
      <c r="A8" t="s">
        <v>63</v>
      </c>
      <c r="B8" s="9">
        <v>12893</v>
      </c>
      <c r="C8" s="9">
        <v>12893</v>
      </c>
      <c r="D8" s="9">
        <v>6400</v>
      </c>
      <c r="E8" s="9">
        <v>6400</v>
      </c>
      <c r="F8" s="9">
        <f t="shared" si="0"/>
        <v>6493</v>
      </c>
    </row>
    <row r="9" spans="1:6" x14ac:dyDescent="0.25">
      <c r="A9" t="s">
        <v>2</v>
      </c>
      <c r="B9" s="9">
        <v>25319</v>
      </c>
      <c r="C9" s="9">
        <v>219511</v>
      </c>
      <c r="D9" s="9">
        <v>959</v>
      </c>
      <c r="E9" s="11">
        <v>284487</v>
      </c>
      <c r="F9" s="9">
        <f t="shared" si="0"/>
        <v>-64976</v>
      </c>
    </row>
    <row r="10" spans="1:6" x14ac:dyDescent="0.25">
      <c r="A10" t="s">
        <v>64</v>
      </c>
      <c r="B10" s="9">
        <v>10574</v>
      </c>
      <c r="C10" s="9">
        <v>67926</v>
      </c>
      <c r="D10" s="9">
        <v>1256</v>
      </c>
      <c r="E10" s="9">
        <v>-34787</v>
      </c>
      <c r="F10" s="9">
        <f t="shared" si="0"/>
        <v>102713</v>
      </c>
    </row>
    <row r="11" spans="1:6" x14ac:dyDescent="0.25">
      <c r="A11" t="s">
        <v>50</v>
      </c>
      <c r="B11" s="9">
        <v>208303</v>
      </c>
      <c r="C11" s="9">
        <v>213029</v>
      </c>
      <c r="D11" s="9">
        <v>-115506</v>
      </c>
      <c r="E11" s="9">
        <v>-16208</v>
      </c>
      <c r="F11" s="9">
        <f t="shared" si="0"/>
        <v>229237</v>
      </c>
    </row>
    <row r="12" spans="1:6" x14ac:dyDescent="0.25">
      <c r="A12" t="s">
        <v>65</v>
      </c>
      <c r="B12" s="9">
        <v>-953574</v>
      </c>
      <c r="C12" s="9">
        <v>-862319</v>
      </c>
      <c r="D12" s="9">
        <v>115101</v>
      </c>
      <c r="E12" s="9">
        <v>41301</v>
      </c>
      <c r="F12" s="9">
        <f t="shared" si="0"/>
        <v>-903620</v>
      </c>
    </row>
    <row r="13" spans="1:6" x14ac:dyDescent="0.25">
      <c r="A13" t="s">
        <v>51</v>
      </c>
      <c r="B13" s="9">
        <v>143502</v>
      </c>
      <c r="C13" s="9">
        <v>69336</v>
      </c>
      <c r="D13" s="9">
        <v>132832</v>
      </c>
      <c r="E13" s="11">
        <v>208329</v>
      </c>
      <c r="F13" s="9">
        <f t="shared" si="0"/>
        <v>-138993</v>
      </c>
    </row>
    <row r="14" spans="1:6" x14ac:dyDescent="0.25">
      <c r="A14" t="s">
        <v>66</v>
      </c>
      <c r="B14" s="9"/>
      <c r="C14" s="9">
        <v>0</v>
      </c>
      <c r="D14" s="9">
        <v>-114156</v>
      </c>
      <c r="E14" s="9">
        <v>-114156</v>
      </c>
      <c r="F14" s="9">
        <f t="shared" si="0"/>
        <v>114156</v>
      </c>
    </row>
    <row r="15" spans="1:6" x14ac:dyDescent="0.25">
      <c r="A15" t="s">
        <v>67</v>
      </c>
      <c r="B15" s="9">
        <v>68009</v>
      </c>
      <c r="C15" s="9">
        <v>65439</v>
      </c>
      <c r="D15" s="9">
        <v>-13299</v>
      </c>
      <c r="E15" s="9">
        <v>-12445</v>
      </c>
      <c r="F15" s="9">
        <f t="shared" si="0"/>
        <v>77884</v>
      </c>
    </row>
    <row r="16" spans="1:6" x14ac:dyDescent="0.25">
      <c r="A16" t="s">
        <v>68</v>
      </c>
      <c r="B16" s="9">
        <v>-12504</v>
      </c>
      <c r="C16" s="9">
        <v>-12955</v>
      </c>
      <c r="D16" s="9">
        <v>-14951</v>
      </c>
      <c r="E16" s="9">
        <v>-22811</v>
      </c>
      <c r="F16" s="9">
        <f t="shared" si="0"/>
        <v>9856</v>
      </c>
    </row>
    <row r="17" spans="1:6" x14ac:dyDescent="0.25">
      <c r="A17" t="s">
        <v>52</v>
      </c>
      <c r="B17" s="9">
        <v>-5</v>
      </c>
      <c r="C17" s="9">
        <v>-1985</v>
      </c>
      <c r="D17" s="9">
        <v>-11</v>
      </c>
      <c r="E17" s="9">
        <v>18236</v>
      </c>
      <c r="F17" s="9">
        <f t="shared" si="0"/>
        <v>-20221</v>
      </c>
    </row>
    <row r="18" spans="1:6" x14ac:dyDescent="0.25">
      <c r="A18" t="s">
        <v>53</v>
      </c>
      <c r="B18" s="9">
        <v>14730316</v>
      </c>
      <c r="C18" s="9">
        <v>14730316</v>
      </c>
      <c r="D18" s="9">
        <v>11744365</v>
      </c>
      <c r="E18" s="9">
        <v>11744365</v>
      </c>
      <c r="F18" s="9">
        <f t="shared" si="0"/>
        <v>2985951</v>
      </c>
    </row>
    <row r="19" spans="1:6" x14ac:dyDescent="0.25">
      <c r="A19" t="s">
        <v>69</v>
      </c>
      <c r="B19" s="9"/>
      <c r="C19" s="9">
        <v>-19259</v>
      </c>
      <c r="D19" s="9"/>
      <c r="E19" s="11">
        <v>-15942</v>
      </c>
      <c r="F19" s="9">
        <f t="shared" si="0"/>
        <v>-3317</v>
      </c>
    </row>
    <row r="20" spans="1:6" x14ac:dyDescent="0.25">
      <c r="A20" s="1" t="s">
        <v>54</v>
      </c>
      <c r="B20" s="10">
        <f>SUM(B3:B19)</f>
        <v>-24610769</v>
      </c>
      <c r="C20" s="10">
        <f>SUM(C3:C19)</f>
        <v>-26321973</v>
      </c>
      <c r="D20" s="10">
        <f>SUM(D3:D19)</f>
        <v>-19417824</v>
      </c>
      <c r="E20" s="10">
        <f>SUM(E3:E19)</f>
        <v>-19563361</v>
      </c>
      <c r="F20" s="10">
        <f t="shared" si="0"/>
        <v>-6758612</v>
      </c>
    </row>
    <row r="21" spans="1:6" x14ac:dyDescent="0.25">
      <c r="A21" s="1" t="s">
        <v>55</v>
      </c>
      <c r="B21" s="10"/>
      <c r="C21" s="9"/>
      <c r="D21" s="9"/>
      <c r="E21" s="9"/>
      <c r="F21" s="9">
        <f t="shared" si="0"/>
        <v>0</v>
      </c>
    </row>
    <row r="22" spans="1:6" x14ac:dyDescent="0.25">
      <c r="A22" t="s">
        <v>56</v>
      </c>
      <c r="B22" s="9">
        <v>-11456</v>
      </c>
      <c r="C22" s="9">
        <v>-12890</v>
      </c>
      <c r="D22" s="9">
        <v>-15693</v>
      </c>
      <c r="E22" s="11">
        <v>-16361</v>
      </c>
      <c r="F22" s="9">
        <f t="shared" si="0"/>
        <v>3471</v>
      </c>
    </row>
    <row r="23" spans="1:6" x14ac:dyDescent="0.25">
      <c r="A23" t="s">
        <v>57</v>
      </c>
      <c r="B23" s="9">
        <v>-45113</v>
      </c>
      <c r="C23" s="9">
        <v>-59282</v>
      </c>
      <c r="D23" s="9">
        <v>-26755</v>
      </c>
      <c r="E23" s="11">
        <v>-32361</v>
      </c>
      <c r="F23" s="9">
        <f t="shared" si="0"/>
        <v>-26921</v>
      </c>
    </row>
    <row r="24" spans="1:6" x14ac:dyDescent="0.25">
      <c r="A24" t="s">
        <v>70</v>
      </c>
      <c r="B24" s="9"/>
      <c r="C24" s="9">
        <v>-388052</v>
      </c>
      <c r="D24" s="9"/>
      <c r="E24" s="11">
        <v>-2799279</v>
      </c>
      <c r="F24" s="9">
        <f t="shared" si="0"/>
        <v>2411227</v>
      </c>
    </row>
    <row r="25" spans="1:6" x14ac:dyDescent="0.25">
      <c r="A25" t="s">
        <v>71</v>
      </c>
      <c r="B25" s="9"/>
      <c r="C25" s="9"/>
      <c r="D25" s="9">
        <v>9</v>
      </c>
      <c r="E25" s="9">
        <v>2459</v>
      </c>
      <c r="F25" s="9">
        <f t="shared" si="0"/>
        <v>-2459</v>
      </c>
    </row>
    <row r="26" spans="1:6" x14ac:dyDescent="0.25">
      <c r="A26" t="s">
        <v>72</v>
      </c>
      <c r="B26" s="9"/>
      <c r="C26" s="9">
        <v>12637</v>
      </c>
      <c r="D26" s="9"/>
      <c r="E26" s="9">
        <v>6905</v>
      </c>
      <c r="F26" s="9">
        <f t="shared" si="0"/>
        <v>5732</v>
      </c>
    </row>
    <row r="27" spans="1:6" x14ac:dyDescent="0.25">
      <c r="A27" t="s">
        <v>74</v>
      </c>
      <c r="B27" s="9">
        <v>6795</v>
      </c>
      <c r="C27" s="9">
        <v>1362377</v>
      </c>
      <c r="D27" s="9"/>
      <c r="E27" s="9">
        <v>2317468</v>
      </c>
      <c r="F27" s="9">
        <f t="shared" si="0"/>
        <v>-955091</v>
      </c>
    </row>
    <row r="28" spans="1:6" x14ac:dyDescent="0.25">
      <c r="A28" t="s">
        <v>58</v>
      </c>
      <c r="B28" s="9"/>
      <c r="C28" s="9">
        <v>572055</v>
      </c>
      <c r="D28" s="9">
        <v>35890</v>
      </c>
      <c r="E28" s="9">
        <v>605359</v>
      </c>
      <c r="F28" s="9">
        <f t="shared" si="0"/>
        <v>-33304</v>
      </c>
    </row>
    <row r="29" spans="1:6" x14ac:dyDescent="0.25">
      <c r="A29" t="s">
        <v>73</v>
      </c>
      <c r="B29" s="9"/>
      <c r="C29" s="9"/>
      <c r="D29" s="9"/>
      <c r="E29" s="9">
        <v>0</v>
      </c>
      <c r="F29" s="9">
        <f t="shared" si="0"/>
        <v>0</v>
      </c>
    </row>
    <row r="30" spans="1:6" x14ac:dyDescent="0.25">
      <c r="A30" t="s">
        <v>59</v>
      </c>
      <c r="B30" s="9">
        <v>2473</v>
      </c>
      <c r="C30" s="9">
        <v>122281</v>
      </c>
      <c r="D30" s="9">
        <v>11521</v>
      </c>
      <c r="E30" s="9">
        <v>108625</v>
      </c>
      <c r="F30" s="9">
        <f t="shared" si="0"/>
        <v>13656</v>
      </c>
    </row>
    <row r="31" spans="1:6" x14ac:dyDescent="0.25">
      <c r="A31" t="s">
        <v>60</v>
      </c>
      <c r="B31" s="9">
        <v>-416</v>
      </c>
      <c r="C31" s="9">
        <v>-711</v>
      </c>
      <c r="D31" s="9">
        <v>-1389</v>
      </c>
      <c r="E31" s="9">
        <v>-10601</v>
      </c>
      <c r="F31" s="9">
        <f t="shared" si="0"/>
        <v>9890</v>
      </c>
    </row>
    <row r="32" spans="1:6" x14ac:dyDescent="0.25">
      <c r="A32" s="1" t="s">
        <v>61</v>
      </c>
      <c r="B32" s="10">
        <f>SUM(B22:B31)</f>
        <v>-47717</v>
      </c>
      <c r="C32" s="10">
        <f>SUM(C22:C31)</f>
        <v>1608415</v>
      </c>
      <c r="D32" s="10">
        <f>SUM(D22:D31)</f>
        <v>3583</v>
      </c>
      <c r="E32" s="10">
        <f>SUM(E22:E31)</f>
        <v>182214</v>
      </c>
      <c r="F32" s="10">
        <f t="shared" si="0"/>
        <v>1426201</v>
      </c>
    </row>
    <row r="33" spans="1:6" x14ac:dyDescent="0.25">
      <c r="A33" s="1" t="s">
        <v>75</v>
      </c>
      <c r="B33" s="10"/>
      <c r="C33" s="9"/>
      <c r="D33" s="9"/>
      <c r="E33" s="9"/>
      <c r="F33" s="9">
        <f t="shared" si="0"/>
        <v>0</v>
      </c>
    </row>
    <row r="34" spans="1:6" x14ac:dyDescent="0.25">
      <c r="A34" t="s">
        <v>76</v>
      </c>
      <c r="B34" s="9">
        <v>25559400</v>
      </c>
      <c r="C34" s="9">
        <v>25559400</v>
      </c>
      <c r="D34" s="9">
        <v>20090500</v>
      </c>
      <c r="E34" s="9">
        <v>20090500</v>
      </c>
      <c r="F34" s="9">
        <f t="shared" si="0"/>
        <v>5468900</v>
      </c>
    </row>
    <row r="35" spans="1:6" x14ac:dyDescent="0.25">
      <c r="A35" t="s">
        <v>77</v>
      </c>
      <c r="B35" s="9">
        <v>68350</v>
      </c>
      <c r="C35" s="9">
        <v>68350</v>
      </c>
      <c r="D35" s="9">
        <v>980</v>
      </c>
      <c r="E35" s="9">
        <v>980</v>
      </c>
      <c r="F35" s="9">
        <f t="shared" si="0"/>
        <v>67370</v>
      </c>
    </row>
    <row r="36" spans="1:6" x14ac:dyDescent="0.25">
      <c r="A36" t="s">
        <v>78</v>
      </c>
      <c r="B36" s="9"/>
      <c r="C36" s="9"/>
      <c r="D36" s="9"/>
      <c r="E36" s="9"/>
      <c r="F36" s="9">
        <f t="shared" si="0"/>
        <v>0</v>
      </c>
    </row>
    <row r="37" spans="1:6" x14ac:dyDescent="0.25">
      <c r="A37" t="s">
        <v>79</v>
      </c>
      <c r="B37" s="9">
        <v>-14380</v>
      </c>
      <c r="C37" s="9">
        <v>-14380</v>
      </c>
      <c r="D37" s="9">
        <v>-16710</v>
      </c>
      <c r="E37" s="9">
        <v>-18081</v>
      </c>
      <c r="F37" s="9">
        <f t="shared" si="0"/>
        <v>3701</v>
      </c>
    </row>
    <row r="38" spans="1:6" x14ac:dyDescent="0.25">
      <c r="A38" t="s">
        <v>80</v>
      </c>
      <c r="B38" s="9">
        <v>-37</v>
      </c>
      <c r="C38" s="9">
        <v>-499</v>
      </c>
      <c r="D38" s="9">
        <v>-24</v>
      </c>
      <c r="E38" s="9">
        <v>-497</v>
      </c>
      <c r="F38" s="9">
        <f t="shared" si="0"/>
        <v>-2</v>
      </c>
    </row>
    <row r="39" spans="1:6" x14ac:dyDescent="0.25">
      <c r="A39" t="s">
        <v>81</v>
      </c>
      <c r="B39" s="9">
        <v>-2961</v>
      </c>
      <c r="C39" s="9">
        <v>-2961</v>
      </c>
      <c r="D39" s="9">
        <v>4390</v>
      </c>
      <c r="E39" s="9">
        <v>4390</v>
      </c>
      <c r="F39" s="9">
        <f t="shared" si="0"/>
        <v>-7351</v>
      </c>
    </row>
    <row r="40" spans="1:6" x14ac:dyDescent="0.25">
      <c r="A40" t="s">
        <v>82</v>
      </c>
      <c r="B40" s="9"/>
      <c r="C40" s="9">
        <v>0</v>
      </c>
      <c r="D40" s="9">
        <v>-102802</v>
      </c>
      <c r="E40" s="9">
        <v>-105044</v>
      </c>
      <c r="F40" s="9">
        <f t="shared" si="0"/>
        <v>105044</v>
      </c>
    </row>
    <row r="41" spans="1:6" x14ac:dyDescent="0.25">
      <c r="A41" t="s">
        <v>83</v>
      </c>
      <c r="B41" s="9">
        <v>-448</v>
      </c>
      <c r="C41" s="9">
        <v>-448</v>
      </c>
      <c r="D41" s="9"/>
      <c r="E41" s="9">
        <v>0</v>
      </c>
      <c r="F41" s="9">
        <f t="shared" si="0"/>
        <v>-448</v>
      </c>
    </row>
    <row r="42" spans="1:6" x14ac:dyDescent="0.25">
      <c r="A42" s="1" t="s">
        <v>84</v>
      </c>
      <c r="B42" s="10">
        <f>SUM(B34:B41)</f>
        <v>25609924</v>
      </c>
      <c r="C42" s="10">
        <f>SUM(C34:C41)</f>
        <v>25609462</v>
      </c>
      <c r="D42" s="10">
        <f>SUM(D34:D41)</f>
        <v>19976334</v>
      </c>
      <c r="E42" s="10">
        <f>SUM(E34:E41)</f>
        <v>19972248</v>
      </c>
      <c r="F42" s="10">
        <f t="shared" si="0"/>
        <v>5637214</v>
      </c>
    </row>
    <row r="43" spans="1:6" ht="45" x14ac:dyDescent="0.25">
      <c r="A43" s="3" t="s">
        <v>85</v>
      </c>
      <c r="B43" s="12">
        <f>B32+B20+B42</f>
        <v>951438</v>
      </c>
      <c r="C43" s="10">
        <f>C32+C20+C42</f>
        <v>895904</v>
      </c>
      <c r="D43" s="10">
        <f>D32+D20+D42</f>
        <v>562093</v>
      </c>
      <c r="E43" s="10">
        <f>E42+E32+E20</f>
        <v>591101</v>
      </c>
      <c r="F43" s="10">
        <f t="shared" si="0"/>
        <v>304803</v>
      </c>
    </row>
    <row r="44" spans="1:6" x14ac:dyDescent="0.25">
      <c r="A44" t="s">
        <v>86</v>
      </c>
      <c r="B44" s="9">
        <v>-1337689</v>
      </c>
      <c r="C44" s="9">
        <v>-1337689</v>
      </c>
      <c r="D44" s="9">
        <v>-2510203</v>
      </c>
      <c r="E44" s="9">
        <v>-2510203</v>
      </c>
      <c r="F44" s="9">
        <f t="shared" si="0"/>
        <v>1172514</v>
      </c>
    </row>
    <row r="45" spans="1:6" x14ac:dyDescent="0.25">
      <c r="A45" s="1" t="s">
        <v>87</v>
      </c>
      <c r="B45" s="10">
        <f>B43+B44</f>
        <v>-386251</v>
      </c>
      <c r="C45" s="10">
        <f t="shared" ref="C45:E45" si="1">C43+C44</f>
        <v>-441785</v>
      </c>
      <c r="D45" s="10">
        <f t="shared" si="1"/>
        <v>-1948110</v>
      </c>
      <c r="E45" s="10">
        <f t="shared" si="1"/>
        <v>-1919102</v>
      </c>
      <c r="F45" s="10">
        <f t="shared" si="0"/>
        <v>1477317</v>
      </c>
    </row>
    <row r="46" spans="1:6" ht="30" x14ac:dyDescent="0.25">
      <c r="A46" s="3" t="s">
        <v>88</v>
      </c>
      <c r="B46" s="10">
        <f>D47</f>
        <v>1682114</v>
      </c>
      <c r="C46" s="10">
        <f>E47</f>
        <v>1929965</v>
      </c>
      <c r="D46" s="10">
        <v>3630224</v>
      </c>
      <c r="E46" s="10">
        <v>3849067</v>
      </c>
      <c r="F46" s="10">
        <f t="shared" si="0"/>
        <v>-1919102</v>
      </c>
    </row>
    <row r="47" spans="1:6" x14ac:dyDescent="0.25">
      <c r="A47" s="1" t="s">
        <v>89</v>
      </c>
      <c r="B47" s="10">
        <f>B46+B45</f>
        <v>1295863</v>
      </c>
      <c r="C47" s="10">
        <f t="shared" ref="C47:E47" si="2">C46+C45</f>
        <v>1488180</v>
      </c>
      <c r="D47" s="10">
        <f t="shared" si="2"/>
        <v>1682114</v>
      </c>
      <c r="E47" s="10">
        <f t="shared" si="2"/>
        <v>1929965</v>
      </c>
      <c r="F47" s="10">
        <f t="shared" si="0"/>
        <v>-441785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 (Expenditure)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 kidiga</dc:creator>
  <cp:lastModifiedBy>Clau Kegode</cp:lastModifiedBy>
  <dcterms:created xsi:type="dcterms:W3CDTF">2024-12-03T10:18:58Z</dcterms:created>
  <dcterms:modified xsi:type="dcterms:W3CDTF">2026-08-26T06:40:57Z</dcterms:modified>
</cp:coreProperties>
</file>